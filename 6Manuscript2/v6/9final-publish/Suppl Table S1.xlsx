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idlertidig_Lagring\SysRevReproEeg\6Manuscript2\v2\5tosubmit\"/>
    </mc:Choice>
  </mc:AlternateContent>
  <xr:revisionPtr revIDLastSave="0" documentId="13_ncr:81_{239757DA-B8B5-4482-83B6-5F2E409A9A8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arch strings" sheetId="2" r:id="rId1"/>
    <sheet name="Author clarifications" sheetId="1" r:id="rId2"/>
    <sheet name="LLM prompts used" sheetId="3" r:id="rId3"/>
  </sheets>
  <definedNames>
    <definedName name="_xlnm.Print_Titles" localSheetId="1">'Author clarifications'!$A:$A,'Author clarifications'!$1:$2</definedName>
    <definedName name="Z_0BA6CCD0_A53A_4E16_AAAD_6F000649663E_.wvu.PrintTitles" localSheetId="1" hidden="1">'Author clarifications'!$A:$A,'Author clarifications'!$1:$2</definedName>
  </definedNames>
  <calcPr calcId="191029"/>
  <customWorkbookViews>
    <customWorkbookView name="Brøgger, Jan Christian - Personlig visning" guid="{0BA6CCD0-A53A-4E16-AAAD-6F000649663E}" mergeInterval="0" personalView="1" maximized="1" xWindow="-11" yWindow="-11" windowWidth="1942" windowHeight="115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</calcChain>
</file>

<file path=xl/sharedStrings.xml><?xml version="1.0" encoding="utf-8"?>
<sst xmlns="http://schemas.openxmlformats.org/spreadsheetml/2006/main" count="181" uniqueCount="119">
  <si>
    <t>Author</t>
  </si>
  <si>
    <t>REFID</t>
  </si>
  <si>
    <t>Date contacted</t>
  </si>
  <si>
    <t>Response yes/no</t>
  </si>
  <si>
    <t>Date of response</t>
  </si>
  <si>
    <t>No</t>
  </si>
  <si>
    <t>Comment</t>
  </si>
  <si>
    <t>Question type</t>
  </si>
  <si>
    <t>COUNT YES</t>
  </si>
  <si>
    <t>COUNT NO</t>
  </si>
  <si>
    <t>COUNT ALL</t>
  </si>
  <si>
    <t>Year of publ.</t>
  </si>
  <si>
    <t>Pubmed</t>
  </si>
  <si>
    <t>“(“Reprod*” OR “retest” OR “reliability” OR “Reproducibility of Results”[MH] OR “intrarater*” OR “intra-rater*” OR “interrater*” OR “inter-rater*” OR “kappa” OR “agreem*” OR “inter-review*” OR “interreview*” OR “intra-review*” OR “intrareview*”) AND (“EEG” OR “Electroence*” OR “Electroencephalography”[MH])”.</t>
  </si>
  <si>
    <t>Embase</t>
  </si>
  <si>
    <t xml:space="preserve"> “((reprod* or retest* or reliab* or intrarater* or intra-rater* or interrater* or inter-rater* or inter-review* or interreview* or intrareview* or inter-review*).af. or reproducibility/) and (EEG.af. or electroencephalogram/) “</t>
  </si>
  <si>
    <t>PsycInfo</t>
  </si>
  <si>
    <t>“((reprod or retest* or reliab* or intrarater* or intra-rater* or interrater* or inter-rater* or inter-review* or interreview* or intrareview* or intra-review*).af. or reproducibility/) and (EEG.af. or electroencephalogram/) “</t>
  </si>
  <si>
    <t>Cochrane</t>
  </si>
  <si>
    <t xml:space="preserve">“(reprod:ti,ab,kw or reliab*:ti,ab,kw or interrater*:ti,ab,kw or intrarater*:ti,ab,kw or intra-rater*:ti,ab,kw or inter-rater*:ti,ab,kw) and (electroenc*:ti,ab,kw or eeg*:ti,ab,kw)”. </t>
  </si>
  <si>
    <t>Search strings</t>
  </si>
  <si>
    <t>Supplemental Table 1: Author clarifications attempted during the performance of a systematic review of the reproducibility of visual analysis of EEG (update 2023-25)</t>
  </si>
  <si>
    <t>Chan</t>
  </si>
  <si>
    <t>n/a</t>
  </si>
  <si>
    <t>Full text available?</t>
  </si>
  <si>
    <t>Chan, "ROBUST AUTOMATED SLEEP STAGING USING ONLY EEG SIGNALS" from Beacon Biosignals</t>
  </si>
  <si>
    <t>McGraw</t>
  </si>
  <si>
    <t>Automated quantification of periodic discharges in human electroencephalogram</t>
  </si>
  <si>
    <t>Y.L.Tian</t>
  </si>
  <si>
    <t>A preliminary study on a new method for evaluating brain maturation in preterm infants</t>
  </si>
  <si>
    <t>Brandon Westover</t>
  </si>
  <si>
    <t>hospital general email</t>
  </si>
  <si>
    <t>Umeda</t>
  </si>
  <si>
    <t>t.okanishi@tottori-u.ac.jp</t>
  </si>
  <si>
    <t>Relationship between the time course of Burden of Amplitudes and Epileptiform Discharges scores and relapse in children with infantile epileptic spasms syndrome</t>
  </si>
  <si>
    <t>kenshu@nanwairyou.jp &lt;kenshu@nanwairyou.jp&gt;</t>
  </si>
  <si>
    <t xml:space="preserve">
UTILITY OF THE SALZBURG CRITERIA AND THE ACNS STANDARDIZED CRITICAL CARE EEG TERMINOLOGY, 2021 VERSION FOR OUTCOME PREDICTION OF NONCONVULSIVE STATUS EPILEPTICUS</t>
  </si>
  <si>
    <t>Zahoor</t>
  </si>
  <si>
    <t>Inter-Rater Reliability of EEG-Based EncephalopathyGrading</t>
  </si>
  <si>
    <t>Yes</t>
  </si>
  <si>
    <t>Yamanaka</t>
  </si>
  <si>
    <t>the last author on ResearchGate</t>
  </si>
  <si>
    <t>Alex Chan</t>
  </si>
  <si>
    <t>Response</t>
  </si>
  <si>
    <t>Full text not available</t>
  </si>
  <si>
    <t>Full text acquired</t>
  </si>
  <si>
    <t>Fabio Nascimento</t>
  </si>
  <si>
    <t>email of last author Masako Kinoshita</t>
  </si>
  <si>
    <t>hospital email about cell lines</t>
  </si>
  <si>
    <t>Full text acquired ourselves</t>
  </si>
  <si>
    <t>Statistical clarification</t>
  </si>
  <si>
    <t>(none yet)</t>
  </si>
  <si>
    <t xml:space="preserve">Jirakittayakorn </t>
  </si>
  <si>
    <t>Tian</t>
  </si>
  <si>
    <t>v</t>
  </si>
  <si>
    <t>Mao Jian</t>
  </si>
  <si>
    <t>Sent to/responder name</t>
  </si>
  <si>
    <t>What kappa on nearly-continuous variable?</t>
  </si>
  <si>
    <t>[A preliminary study on a new method for evaluating brain maturation in preterm infants]</t>
  </si>
  <si>
    <t>Somsak Mitrirattanakul</t>
  </si>
  <si>
    <t>How many EEGs, length of EEG</t>
  </si>
  <si>
    <t>ZleepAnlystNet: a novel deep learning model for automatic sleep stage scoring based on single‑channel raw EEG data using separating training</t>
  </si>
  <si>
    <t>Recomputed ourselves</t>
  </si>
  <si>
    <t>Molloy</t>
  </si>
  <si>
    <t xml:space="preserve">Orav </t>
  </si>
  <si>
    <t xml:space="preserve">Kuchukhidze </t>
  </si>
  <si>
    <t>Sheikh</t>
  </si>
  <si>
    <t>Zubeda Karim/Sheigh</t>
  </si>
  <si>
    <t>Eleanor Molloy</t>
  </si>
  <si>
    <t>Age group?</t>
  </si>
  <si>
    <t>Data inconsistency, Unit of analysis clarification, number of EEGs/patients.</t>
  </si>
  <si>
    <t>Kendall W inappropriate, asked for other</t>
  </si>
  <si>
    <t>Raw table given</t>
  </si>
  <si>
    <t>Number</t>
  </si>
  <si>
    <t>Case</t>
  </si>
  <si>
    <t>Prompt</t>
  </si>
  <si>
    <t>Re-abstract total EEG length and reviewed EEG length</t>
  </si>
  <si>
    <t>You are assisting with data abstraction for a systematic review of reproducibility of visual EEG interpretation of **interictal epileptiform discharges (IEDs) present yes/no**.</t>
  </si>
  <si>
    <t>The goal is to determine the **temporal unit of analysis** used in the reproducibility study.</t>
  </si>
  <si>
    <t>Carefully read the paper and extract the following information.</t>
  </si>
  <si>
    <t>IMPORTANT: Many EEG reproducibility papers describe both the **total EEG recording duration** and the **analytic unit used for the rating task**. These are not the same. Only the analytic unit should be interpreted as the **clip/epoch length**.</t>
  </si>
  <si>
    <t>Answer the following questions.</t>
  </si>
  <si>
    <t>1. **Unit of analysis**</t>
  </si>
  <si>
    <t>Determine what object the raters classified.</t>
  </si>
  <si>
    <t>Choose one of the following:</t>
  </si>
  <si>
    <t>* whole_EEG (raters interpreted the entire EEG recording and decided whether epileptiform discharges were present or absent)</t>
  </si>
  <si>
    <t>* clip_or_epoch (raters classified short EEG segments such as clips, epochs, pages, or windows)</t>
  </si>
  <si>
    <t>* event_detection (raters marked individual spikes or epileptiform events)</t>
  </si>
  <si>
    <t>Explain briefly how the paper defines the unit being classified.</t>
  </si>
  <si>
    <t>2. **Clip or epoch length (seconds)**</t>
  </si>
  <si>
    <t>If the unit of analysis is clip_or_epoch, determine the duration of the EEG segment that raters evaluated.</t>
  </si>
  <si>
    <t>Examples include:</t>
  </si>
  <si>
    <t>* 1 second</t>
  </si>
  <si>
    <t>* 10 seconds</t>
  </si>
  <si>
    <t>* 30 seconds</t>
  </si>
  <si>
    <t>* 60 seconds</t>
  </si>
  <si>
    <t>* 3-minute segment</t>
  </si>
  <si>
    <t>Report the duration in **seconds**.</t>
  </si>
  <si>
    <t>If the study does not use clips or epochs, write **NA**.</t>
  </si>
  <si>
    <t>3. **Length of EEG recording reviewed (minutes)**</t>
  </si>
  <si>
    <t>Determine the approximate duration of EEG data that raters reviewed in each case.</t>
  </si>
  <si>
    <t>* 20-minute routine EEG</t>
  </si>
  <si>
    <t>* 24-hour EEG monitoring</t>
  </si>
  <si>
    <t>* 6-hour EEG segment</t>
  </si>
  <si>
    <t>Report the duration in **minutes**.</t>
  </si>
  <si>
    <t>If the paper does not provide this information, write **unclear**.</t>
  </si>
  <si>
    <t>4. **Evidence from the paper**</t>
  </si>
  <si>
    <t>Quote or summarize the specific sentence(s) in the paper that justify your answers.</t>
  </si>
  <si>
    <t>5. **Final structured output**</t>
  </si>
  <si>
    <t>Provide the result in this exact format:</t>
  </si>
  <si>
    <t>REFID:</t>
  </si>
  <si>
    <t>Unit_of_analysis:</t>
  </si>
  <si>
    <t>Clip_length_seconds:</t>
  </si>
  <si>
    <t>EEG_length_minutes:</t>
  </si>
  <si>
    <t>Notes:</t>
  </si>
  <si>
    <t>Evidence:</t>
  </si>
  <si>
    <t>van Donselaar</t>
  </si>
  <si>
    <t>Sampling weights</t>
  </si>
  <si>
    <t>Table from thesis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</si>
</sst>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ptos"/>
      <family val="2"/>
    </font>
    <font>
      <sz val="12"/>
      <color rgb="FF14141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56" Type="http://schemas.openxmlformats.org/officeDocument/2006/relationships/revisionLog" Target="revisionLog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4FF6D48-D0E1-4CA4-AC1F-2683081988DA}" diskRevisions="1" revisionId="381" version="56">
  <header guid="{94FF6D48-D0E1-4CA4-AC1F-2683081988DA}" dateTime="2026-04-17T10:25:21" maxSheetId="4" userName="Brøgger, Jan Christian" r:id="rId56">
    <sheetIdMap count="3">
      <sheetId val="2"/>
      <sheetId val="1"/>
      <sheetId val="3"/>
    </sheetIdMap>
  </header>
</header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0:XFD20">
    <dxf>
      <fill>
        <patternFill patternType="solid">
          <bgColor rgb="FFFFFF00"/>
        </patternFill>
      </fill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4A8C-B77A-49B1-9B93-11C101A6AA9A}">
  <dimension ref="A1:B5"/>
  <sheetViews>
    <sheetView workbookViewId="0">
      <selection activeCell="B8" sqref="B8"/>
    </sheetView>
  </sheetViews>
  <sheetFormatPr baseColWidth="10" defaultRowHeight="14.5" x14ac:dyDescent="0.35"/>
  <cols>
    <col min="2" max="2" width="101.54296875" customWidth="1"/>
  </cols>
  <sheetData>
    <row r="1" spans="1:2" x14ac:dyDescent="0.35">
      <c r="A1" t="s">
        <v>20</v>
      </c>
    </row>
    <row r="2" spans="1:2" ht="43.5" x14ac:dyDescent="0.35">
      <c r="A2" t="s">
        <v>12</v>
      </c>
      <c r="B2" s="2" t="s">
        <v>13</v>
      </c>
    </row>
    <row r="3" spans="1:2" ht="29" x14ac:dyDescent="0.35">
      <c r="A3" t="s">
        <v>14</v>
      </c>
      <c r="B3" s="2" t="s">
        <v>15</v>
      </c>
    </row>
    <row r="4" spans="1:2" ht="29" x14ac:dyDescent="0.35">
      <c r="A4" t="s">
        <v>16</v>
      </c>
      <c r="B4" s="2" t="s">
        <v>17</v>
      </c>
    </row>
    <row r="5" spans="1:2" ht="29" x14ac:dyDescent="0.35">
      <c r="A5" t="s">
        <v>18</v>
      </c>
      <c r="B5" s="2" t="s">
        <v>19</v>
      </c>
    </row>
  </sheetData>
  <customSheetViews>
    <customSheetView guid="{0BA6CCD0-A53A-4E16-AAAD-6F000649663E}">
      <selection activeCell="B8" sqref="B8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16" workbookViewId="0">
      <selection activeCell="D18" sqref="D18"/>
    </sheetView>
  </sheetViews>
  <sheetFormatPr baseColWidth="10" defaultColWidth="9.1796875" defaultRowHeight="14.5" x14ac:dyDescent="0.35"/>
  <cols>
    <col min="1" max="1" width="13.54296875" customWidth="1"/>
    <col min="2" max="2" width="8.81640625" customWidth="1"/>
    <col min="3" max="3" width="7.7265625" customWidth="1"/>
    <col min="4" max="4" width="13.54296875" customWidth="1"/>
    <col min="5" max="5" width="9.81640625" customWidth="1"/>
    <col min="6" max="6" width="10" customWidth="1"/>
    <col min="7" max="7" width="27.1796875" customWidth="1"/>
    <col min="8" max="9" width="20.81640625" customWidth="1"/>
    <col min="10" max="10" width="120" style="2" customWidth="1"/>
  </cols>
  <sheetData>
    <row r="1" spans="1:10" x14ac:dyDescent="0.35">
      <c r="A1" s="5" t="s">
        <v>21</v>
      </c>
    </row>
    <row r="2" spans="1:10" s="2" customFormat="1" ht="29" x14ac:dyDescent="0.35">
      <c r="A2" s="3" t="s">
        <v>0</v>
      </c>
      <c r="B2" s="3" t="s">
        <v>11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56</v>
      </c>
      <c r="H2" s="3" t="s">
        <v>7</v>
      </c>
      <c r="I2" s="3" t="s">
        <v>43</v>
      </c>
      <c r="J2" s="3" t="s">
        <v>6</v>
      </c>
    </row>
    <row r="3" spans="1:10" ht="23.25" customHeight="1" x14ac:dyDescent="0.35">
      <c r="A3" t="s">
        <v>22</v>
      </c>
      <c r="B3">
        <v>2024</v>
      </c>
      <c r="C3" t="s">
        <v>23</v>
      </c>
      <c r="D3" s="1">
        <v>45789</v>
      </c>
      <c r="E3" t="s">
        <v>39</v>
      </c>
      <c r="F3" s="1">
        <v>45789</v>
      </c>
      <c r="G3" t="s">
        <v>42</v>
      </c>
      <c r="H3" t="s">
        <v>24</v>
      </c>
      <c r="I3" t="s">
        <v>44</v>
      </c>
      <c r="J3" s="2" t="s">
        <v>25</v>
      </c>
    </row>
    <row r="4" spans="1:10" ht="15.75" customHeight="1" x14ac:dyDescent="0.35">
      <c r="A4" t="s">
        <v>26</v>
      </c>
      <c r="B4">
        <v>2024</v>
      </c>
      <c r="C4" t="s">
        <v>23</v>
      </c>
      <c r="D4" s="1">
        <v>45789</v>
      </c>
      <c r="E4" t="s">
        <v>5</v>
      </c>
      <c r="F4" s="1"/>
      <c r="G4" t="s">
        <v>30</v>
      </c>
      <c r="H4" t="s">
        <v>24</v>
      </c>
      <c r="J4" s="2" t="s">
        <v>27</v>
      </c>
    </row>
    <row r="5" spans="1:10" ht="15.75" customHeight="1" x14ac:dyDescent="0.35">
      <c r="A5" t="s">
        <v>26</v>
      </c>
      <c r="B5">
        <v>2024</v>
      </c>
      <c r="C5" t="s">
        <v>23</v>
      </c>
      <c r="D5" s="1">
        <v>45799</v>
      </c>
      <c r="E5" t="s">
        <v>5</v>
      </c>
      <c r="F5" s="1">
        <v>45799</v>
      </c>
      <c r="G5" t="s">
        <v>26</v>
      </c>
      <c r="H5" t="s">
        <v>24</v>
      </c>
      <c r="I5" t="s">
        <v>45</v>
      </c>
      <c r="J5" s="2" t="s">
        <v>27</v>
      </c>
    </row>
    <row r="6" spans="1:10" x14ac:dyDescent="0.35">
      <c r="A6" t="s">
        <v>28</v>
      </c>
      <c r="B6">
        <v>2023</v>
      </c>
      <c r="C6" t="s">
        <v>23</v>
      </c>
      <c r="D6" s="1">
        <v>45789</v>
      </c>
      <c r="E6" t="s">
        <v>5</v>
      </c>
      <c r="F6" s="1"/>
      <c r="G6" t="s">
        <v>31</v>
      </c>
      <c r="H6" t="s">
        <v>24</v>
      </c>
      <c r="J6" s="2" t="s">
        <v>29</v>
      </c>
    </row>
    <row r="7" spans="1:10" x14ac:dyDescent="0.35">
      <c r="A7" t="s">
        <v>28</v>
      </c>
      <c r="B7">
        <v>2023</v>
      </c>
      <c r="C7" t="s">
        <v>23</v>
      </c>
      <c r="D7" s="1">
        <v>45800</v>
      </c>
      <c r="E7" t="s">
        <v>5</v>
      </c>
      <c r="F7" s="1"/>
      <c r="G7" t="s">
        <v>48</v>
      </c>
      <c r="H7" t="s">
        <v>24</v>
      </c>
      <c r="I7" t="s">
        <v>49</v>
      </c>
      <c r="J7" s="2" t="s">
        <v>29</v>
      </c>
    </row>
    <row r="8" spans="1:10" x14ac:dyDescent="0.35">
      <c r="A8" t="s">
        <v>28</v>
      </c>
      <c r="B8">
        <v>2023</v>
      </c>
      <c r="C8" t="s">
        <v>23</v>
      </c>
      <c r="D8" s="1">
        <v>45803</v>
      </c>
      <c r="E8" t="s">
        <v>5</v>
      </c>
      <c r="F8" s="1"/>
      <c r="G8" t="s">
        <v>48</v>
      </c>
      <c r="H8" t="s">
        <v>50</v>
      </c>
      <c r="I8" t="s">
        <v>51</v>
      </c>
      <c r="J8" s="2" t="s">
        <v>29</v>
      </c>
    </row>
    <row r="9" spans="1:10" ht="32.25" customHeight="1" x14ac:dyDescent="0.35">
      <c r="A9" t="s">
        <v>32</v>
      </c>
      <c r="B9">
        <v>2025</v>
      </c>
      <c r="C9" t="s">
        <v>23</v>
      </c>
      <c r="D9" s="1">
        <v>45789</v>
      </c>
      <c r="E9" t="s">
        <v>39</v>
      </c>
      <c r="F9" s="1">
        <v>45789</v>
      </c>
      <c r="G9" t="s">
        <v>33</v>
      </c>
      <c r="H9" t="s">
        <v>24</v>
      </c>
      <c r="I9" t="s">
        <v>45</v>
      </c>
      <c r="J9" s="2" t="s">
        <v>34</v>
      </c>
    </row>
    <row r="10" spans="1:10" ht="32.25" customHeight="1" x14ac:dyDescent="0.35">
      <c r="A10" t="s">
        <v>40</v>
      </c>
      <c r="B10">
        <v>2022</v>
      </c>
      <c r="C10" t="s">
        <v>23</v>
      </c>
      <c r="D10" s="1">
        <v>45789</v>
      </c>
      <c r="E10" t="s">
        <v>5</v>
      </c>
      <c r="F10" s="1"/>
      <c r="G10" t="s">
        <v>35</v>
      </c>
      <c r="H10" t="s">
        <v>24</v>
      </c>
      <c r="J10" s="2" t="s">
        <v>36</v>
      </c>
    </row>
    <row r="11" spans="1:10" ht="32.25" customHeight="1" x14ac:dyDescent="0.35">
      <c r="A11" t="s">
        <v>40</v>
      </c>
      <c r="B11">
        <v>2022</v>
      </c>
      <c r="C11" t="s">
        <v>23</v>
      </c>
      <c r="D11" s="1">
        <v>45789</v>
      </c>
      <c r="E11" t="s">
        <v>5</v>
      </c>
      <c r="F11" s="1"/>
      <c r="G11" t="s">
        <v>41</v>
      </c>
      <c r="H11" t="s">
        <v>24</v>
      </c>
      <c r="J11" s="2" t="s">
        <v>36</v>
      </c>
    </row>
    <row r="12" spans="1:10" ht="32.25" customHeight="1" x14ac:dyDescent="0.35">
      <c r="A12" t="s">
        <v>40</v>
      </c>
      <c r="B12">
        <v>2022</v>
      </c>
      <c r="C12" t="s">
        <v>23</v>
      </c>
      <c r="D12" s="1">
        <v>45800</v>
      </c>
      <c r="E12" t="s">
        <v>5</v>
      </c>
      <c r="F12" s="1">
        <v>45436</v>
      </c>
      <c r="G12" t="s">
        <v>47</v>
      </c>
      <c r="H12" t="s">
        <v>24</v>
      </c>
      <c r="I12" t="s">
        <v>44</v>
      </c>
      <c r="J12" s="2" t="s">
        <v>36</v>
      </c>
    </row>
    <row r="13" spans="1:10" ht="32.25" customHeight="1" x14ac:dyDescent="0.4">
      <c r="A13" t="s">
        <v>37</v>
      </c>
      <c r="B13">
        <v>2023</v>
      </c>
      <c r="C13" t="s">
        <v>23</v>
      </c>
      <c r="D13" s="1">
        <v>45789</v>
      </c>
      <c r="E13" t="s">
        <v>5</v>
      </c>
      <c r="F13" s="1"/>
      <c r="G13" t="s">
        <v>30</v>
      </c>
      <c r="H13" t="s">
        <v>24</v>
      </c>
      <c r="J13" s="6" t="s">
        <v>38</v>
      </c>
    </row>
    <row r="14" spans="1:10" ht="56.25" customHeight="1" x14ac:dyDescent="0.4">
      <c r="A14" t="s">
        <v>37</v>
      </c>
      <c r="B14">
        <v>2023</v>
      </c>
      <c r="C14" t="s">
        <v>23</v>
      </c>
      <c r="D14" s="1">
        <v>45799</v>
      </c>
      <c r="E14" t="s">
        <v>39</v>
      </c>
      <c r="F14" s="1">
        <v>45799</v>
      </c>
      <c r="G14" t="s">
        <v>46</v>
      </c>
      <c r="H14" t="s">
        <v>24</v>
      </c>
      <c r="I14" t="s">
        <v>45</v>
      </c>
      <c r="J14" s="6" t="s">
        <v>38</v>
      </c>
    </row>
    <row r="15" spans="1:10" ht="56.25" customHeight="1" x14ac:dyDescent="0.4">
      <c r="A15" t="s">
        <v>53</v>
      </c>
      <c r="B15">
        <v>2023</v>
      </c>
      <c r="C15" t="s">
        <v>54</v>
      </c>
      <c r="D15" s="1">
        <v>45803</v>
      </c>
      <c r="E15" t="s">
        <v>5</v>
      </c>
      <c r="F15" s="1"/>
      <c r="G15" t="s">
        <v>55</v>
      </c>
      <c r="H15" s="7" t="s">
        <v>57</v>
      </c>
      <c r="I15" t="s">
        <v>62</v>
      </c>
      <c r="J15" s="6" t="s">
        <v>58</v>
      </c>
    </row>
    <row r="16" spans="1:10" ht="56.25" customHeight="1" x14ac:dyDescent="0.4">
      <c r="A16" t="s">
        <v>52</v>
      </c>
      <c r="B16">
        <v>2024</v>
      </c>
      <c r="C16" t="s">
        <v>23</v>
      </c>
      <c r="D16" s="1">
        <v>45803</v>
      </c>
      <c r="E16" t="s">
        <v>5</v>
      </c>
      <c r="F16" s="1"/>
      <c r="G16" t="s">
        <v>59</v>
      </c>
      <c r="H16" s="2" t="s">
        <v>60</v>
      </c>
      <c r="I16" t="s">
        <v>5</v>
      </c>
      <c r="J16" s="8" t="s">
        <v>61</v>
      </c>
    </row>
    <row r="17" spans="1:10" ht="56.25" customHeight="1" x14ac:dyDescent="0.4">
      <c r="A17" t="s">
        <v>63</v>
      </c>
      <c r="B17">
        <v>2025</v>
      </c>
      <c r="C17" t="s">
        <v>23</v>
      </c>
      <c r="D17" s="1">
        <v>46043</v>
      </c>
      <c r="E17" t="s">
        <v>5</v>
      </c>
      <c r="F17" s="1"/>
      <c r="G17" t="s">
        <v>68</v>
      </c>
      <c r="H17" s="2" t="s">
        <v>71</v>
      </c>
      <c r="I17" t="s">
        <v>5</v>
      </c>
      <c r="J17" s="8"/>
    </row>
    <row r="18" spans="1:10" ht="56.25" customHeight="1" x14ac:dyDescent="0.4">
      <c r="A18" t="s">
        <v>66</v>
      </c>
      <c r="B18">
        <v>2025</v>
      </c>
      <c r="C18">
        <v>437</v>
      </c>
      <c r="D18" s="1">
        <v>46069</v>
      </c>
      <c r="E18" t="s">
        <v>5</v>
      </c>
      <c r="F18" s="1"/>
      <c r="G18" t="s">
        <v>67</v>
      </c>
      <c r="H18" s="2" t="s">
        <v>69</v>
      </c>
      <c r="I18" t="s">
        <v>5</v>
      </c>
      <c r="J18" s="8"/>
    </row>
    <row r="19" spans="1:10" ht="56.25" customHeight="1" x14ac:dyDescent="0.45">
      <c r="A19" s="9" t="s">
        <v>64</v>
      </c>
      <c r="B19">
        <v>2023</v>
      </c>
      <c r="C19">
        <v>458</v>
      </c>
      <c r="D19" s="1">
        <v>46073</v>
      </c>
      <c r="E19" t="s">
        <v>39</v>
      </c>
      <c r="F19" s="1">
        <v>46076</v>
      </c>
      <c r="G19" s="9" t="s">
        <v>65</v>
      </c>
      <c r="H19" s="2" t="s">
        <v>70</v>
      </c>
      <c r="I19" t="s">
        <v>72</v>
      </c>
      <c r="J19" s="8"/>
    </row>
    <row r="20" spans="1:10" s="11" customFormat="1" ht="56.25" customHeight="1" x14ac:dyDescent="0.45">
      <c r="A20" s="10" t="s">
        <v>116</v>
      </c>
      <c r="B20" s="11">
        <v>1992</v>
      </c>
      <c r="C20" s="11">
        <v>37</v>
      </c>
      <c r="D20" s="12">
        <v>46111</v>
      </c>
      <c r="E20" s="11" t="s">
        <v>39</v>
      </c>
      <c r="F20" s="12">
        <v>46118</v>
      </c>
      <c r="G20" s="10" t="s">
        <v>116</v>
      </c>
      <c r="H20" s="13" t="s">
        <v>117</v>
      </c>
      <c r="I20" s="11" t="s">
        <v>118</v>
      </c>
      <c r="J20" s="14"/>
    </row>
    <row r="21" spans="1:10" x14ac:dyDescent="0.35">
      <c r="D21" t="s">
        <v>8</v>
      </c>
      <c r="E21">
        <f>COUNTIF(E3:E20,"Yes")</f>
        <v>5</v>
      </c>
    </row>
    <row r="22" spans="1:10" x14ac:dyDescent="0.35">
      <c r="D22" t="s">
        <v>9</v>
      </c>
      <c r="E22">
        <f>COUNTIF(E3:E20,"No")</f>
        <v>13</v>
      </c>
    </row>
    <row r="23" spans="1:10" x14ac:dyDescent="0.35">
      <c r="D23" t="s">
        <v>10</v>
      </c>
      <c r="E23">
        <f>ROWS(E3:E20)</f>
        <v>18</v>
      </c>
    </row>
  </sheetData>
  <sortState xmlns:xlrd2="http://schemas.microsoft.com/office/spreadsheetml/2017/richdata2" ref="A2:J2">
    <sortCondition ref="D2"/>
  </sortState>
  <customSheetViews>
    <customSheetView guid="{0BA6CCD0-A53A-4E16-AAAD-6F000649663E}" showPageBreaks="1" topLeftCell="A16">
      <selection activeCell="E24" sqref="E24"/>
      <pageMargins left="0.70866141732283472" right="0.70866141732283472" top="0.74803149606299213" bottom="0.74803149606299213" header="0.31496062992125984" footer="0.31496062992125984"/>
      <pageSetup paperSize="9" orientation="landscape" r:id="rId1"/>
      <headerFooter>
        <oddFooter>&amp;CPage &amp;P of &amp;N&amp;L&amp;"Calibri"&amp;11&amp;K000000&amp;"Calibri,Normal"&amp;1&amp;K000000###</oddFooter>
      </headerFooter>
    </customSheetView>
  </customSheetViews>
  <pageMargins left="0.70866141732283472" right="0.70866141732283472" top="0.74803149606299213" bottom="0.74803149606299213" header="0.31496062992125984" footer="0.31496062992125984"/>
  <pageSetup paperSize="9" orientation="landscape" r:id="rId2"/>
  <headerFooter>
    <oddFooter>&amp;CPage &amp;P of &amp;N&amp;L&amp;"Calibri"&amp;11&amp;K000000&amp;"Calibri,Normal"&amp;1&amp;K000000###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FC94-5AF7-498C-80A0-94B12823918F}">
  <dimension ref="A1:C67"/>
  <sheetViews>
    <sheetView workbookViewId="0">
      <selection activeCell="C1" sqref="C1"/>
    </sheetView>
  </sheetViews>
  <sheetFormatPr baseColWidth="10" defaultRowHeight="14.5" x14ac:dyDescent="0.35"/>
  <sheetData>
    <row r="1" spans="1:3" x14ac:dyDescent="0.35">
      <c r="A1" t="s">
        <v>73</v>
      </c>
      <c r="B1" t="s">
        <v>74</v>
      </c>
      <c r="C1" t="s">
        <v>75</v>
      </c>
    </row>
    <row r="2" spans="1:3" x14ac:dyDescent="0.35">
      <c r="A2">
        <v>1</v>
      </c>
      <c r="B2" t="s">
        <v>76</v>
      </c>
      <c r="C2" t="s">
        <v>77</v>
      </c>
    </row>
    <row r="3" spans="1:3" x14ac:dyDescent="0.35">
      <c r="C3" t="s">
        <v>78</v>
      </c>
    </row>
    <row r="4" spans="1:3" x14ac:dyDescent="0.35">
      <c r="C4" t="s">
        <v>79</v>
      </c>
    </row>
    <row r="5" spans="1:3" x14ac:dyDescent="0.35">
      <c r="C5" t="s">
        <v>80</v>
      </c>
    </row>
    <row r="6" spans="1:3" x14ac:dyDescent="0.35">
      <c r="C6" t="s">
        <v>81</v>
      </c>
    </row>
    <row r="7" spans="1:3" x14ac:dyDescent="0.35">
      <c r="C7" t="s">
        <v>82</v>
      </c>
    </row>
    <row r="8" spans="1:3" x14ac:dyDescent="0.35">
      <c r="C8" t="s">
        <v>83</v>
      </c>
    </row>
    <row r="9" spans="1:3" x14ac:dyDescent="0.35">
      <c r="C9" t="s">
        <v>84</v>
      </c>
    </row>
    <row r="10" spans="1:3" x14ac:dyDescent="0.35">
      <c r="C10" t="s">
        <v>85</v>
      </c>
    </row>
    <row r="11" spans="1:3" x14ac:dyDescent="0.35">
      <c r="C11" t="s">
        <v>86</v>
      </c>
    </row>
    <row r="12" spans="1:3" x14ac:dyDescent="0.35">
      <c r="C12" t="s">
        <v>87</v>
      </c>
    </row>
    <row r="13" spans="1:3" x14ac:dyDescent="0.35">
      <c r="C13" t="s">
        <v>88</v>
      </c>
    </row>
    <row r="14" spans="1:3" x14ac:dyDescent="0.35">
      <c r="C14" t="s">
        <v>89</v>
      </c>
    </row>
    <row r="15" spans="1:3" x14ac:dyDescent="0.35">
      <c r="C15" t="s">
        <v>90</v>
      </c>
    </row>
    <row r="28" spans="3:3" x14ac:dyDescent="0.35">
      <c r="C28" t="s">
        <v>91</v>
      </c>
    </row>
    <row r="30" spans="3:3" x14ac:dyDescent="0.35">
      <c r="C30" t="s">
        <v>92</v>
      </c>
    </row>
    <row r="31" spans="3:3" x14ac:dyDescent="0.35">
      <c r="C31" t="s">
        <v>93</v>
      </c>
    </row>
    <row r="32" spans="3:3" x14ac:dyDescent="0.35">
      <c r="C32" t="s">
        <v>94</v>
      </c>
    </row>
    <row r="33" spans="3:3" x14ac:dyDescent="0.35">
      <c r="C33" t="s">
        <v>95</v>
      </c>
    </row>
    <row r="34" spans="3:3" x14ac:dyDescent="0.35">
      <c r="C34" t="s">
        <v>96</v>
      </c>
    </row>
    <row r="36" spans="3:3" x14ac:dyDescent="0.35">
      <c r="C36" t="s">
        <v>97</v>
      </c>
    </row>
    <row r="38" spans="3:3" x14ac:dyDescent="0.35">
      <c r="C38" t="s">
        <v>98</v>
      </c>
    </row>
    <row r="40" spans="3:3" x14ac:dyDescent="0.35">
      <c r="C40" t="s">
        <v>99</v>
      </c>
    </row>
    <row r="42" spans="3:3" x14ac:dyDescent="0.35">
      <c r="C42" t="s">
        <v>100</v>
      </c>
    </row>
    <row r="44" spans="3:3" x14ac:dyDescent="0.35">
      <c r="C44" t="s">
        <v>91</v>
      </c>
    </row>
    <row r="46" spans="3:3" x14ac:dyDescent="0.35">
      <c r="C46" t="s">
        <v>101</v>
      </c>
    </row>
    <row r="47" spans="3:3" x14ac:dyDescent="0.35">
      <c r="C47" t="s">
        <v>102</v>
      </c>
    </row>
    <row r="48" spans="3:3" x14ac:dyDescent="0.35">
      <c r="C48" t="s">
        <v>103</v>
      </c>
    </row>
    <row r="50" spans="3:3" x14ac:dyDescent="0.35">
      <c r="C50" t="s">
        <v>104</v>
      </c>
    </row>
    <row r="52" spans="3:3" x14ac:dyDescent="0.35">
      <c r="C52" t="s">
        <v>105</v>
      </c>
    </row>
    <row r="54" spans="3:3" x14ac:dyDescent="0.35">
      <c r="C54" t="s">
        <v>106</v>
      </c>
    </row>
    <row r="56" spans="3:3" x14ac:dyDescent="0.35">
      <c r="C56" t="s">
        <v>107</v>
      </c>
    </row>
    <row r="58" spans="3:3" x14ac:dyDescent="0.35">
      <c r="C58" t="s">
        <v>108</v>
      </c>
    </row>
    <row r="60" spans="3:3" x14ac:dyDescent="0.35">
      <c r="C60" t="s">
        <v>109</v>
      </c>
    </row>
    <row r="62" spans="3:3" x14ac:dyDescent="0.35">
      <c r="C62" t="s">
        <v>110</v>
      </c>
    </row>
    <row r="63" spans="3:3" x14ac:dyDescent="0.35">
      <c r="C63" t="s">
        <v>111</v>
      </c>
    </row>
    <row r="64" spans="3:3" x14ac:dyDescent="0.35">
      <c r="C64" t="s">
        <v>112</v>
      </c>
    </row>
    <row r="65" spans="3:3" x14ac:dyDescent="0.35">
      <c r="C65" t="s">
        <v>113</v>
      </c>
    </row>
    <row r="66" spans="3:3" x14ac:dyDescent="0.35">
      <c r="C66" t="s">
        <v>114</v>
      </c>
    </row>
    <row r="67" spans="3:3" x14ac:dyDescent="0.35">
      <c r="C67" t="s">
        <v>115</v>
      </c>
    </row>
  </sheetData>
  <customSheetViews>
    <customSheetView guid="{0BA6CCD0-A53A-4E16-AAAD-6F000649663E}">
      <selection activeCell="C1" sqref="C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Search strings</vt:lpstr>
      <vt:lpstr>Author clarifications</vt:lpstr>
      <vt:lpstr>LLM prompts used</vt:lpstr>
      <vt:lpstr>'Author clarifications'!Utskriftstitler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Brøgger, Jan Christian</cp:lastModifiedBy>
  <cp:lastPrinted>2024-01-31T14:00:48Z</cp:lastPrinted>
  <dcterms:created xsi:type="dcterms:W3CDTF">2015-06-05T18:19:34Z</dcterms:created>
  <dcterms:modified xsi:type="dcterms:W3CDTF">2026-04-17T08:25:21Z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91ddcc-9a90-46b7-a727-d19b3ec4b730_Enabled">
    <vt:lpwstr>true</vt:lpwstr>
  </property>
  <property fmtid="{D5CDD505-2E9C-101B-9397-08002B2CF9AE}" pid="3" name="MSIP_Label_d291ddcc-9a90-46b7-a727-d19b3ec4b730_SetDate">
    <vt:lpwstr>2024-01-31T14:00:52Z</vt:lpwstr>
  </property>
  <property fmtid="{D5CDD505-2E9C-101B-9397-08002B2CF9AE}" pid="4" name="MSIP_Label_d291ddcc-9a90-46b7-a727-d19b3ec4b730_Method">
    <vt:lpwstr>Privileged</vt:lpwstr>
  </property>
  <property fmtid="{D5CDD505-2E9C-101B-9397-08002B2CF9AE}" pid="5" name="MSIP_Label_d291ddcc-9a90-46b7-a727-d19b3ec4b730_Name">
    <vt:lpwstr>Åpen</vt:lpwstr>
  </property>
  <property fmtid="{D5CDD505-2E9C-101B-9397-08002B2CF9AE}" pid="6" name="MSIP_Label_d291ddcc-9a90-46b7-a727-d19b3ec4b730_SiteId">
    <vt:lpwstr>bdcbe535-f3cf-49f5-8a6a-fb6d98dc7837</vt:lpwstr>
  </property>
  <property fmtid="{D5CDD505-2E9C-101B-9397-08002B2CF9AE}" pid="7" name="MSIP_Label_d291ddcc-9a90-46b7-a727-d19b3ec4b730_ActionId">
    <vt:lpwstr>f1573bb2-ce75-435f-b312-0d37d75ee4c7</vt:lpwstr>
  </property>
  <property fmtid="{D5CDD505-2E9C-101B-9397-08002B2CF9AE}" pid="8" name="MSIP_Label_d291ddcc-9a90-46b7-a727-d19b3ec4b730_ContentBits">
    <vt:lpwstr>0</vt:lpwstr>
  </property>
</Properties>
</file>