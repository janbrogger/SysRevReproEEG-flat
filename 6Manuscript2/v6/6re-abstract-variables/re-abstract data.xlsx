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idlertidig_Lagring\SysRevReproEeg\6Manuscript2\v1\6re-abstract-variables\"/>
    </mc:Choice>
  </mc:AlternateContent>
  <xr:revisionPtr revIDLastSave="0" documentId="13_ncr:1_{81EB9D2E-EAF3-463E-8AE1-7E6DA04E75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1" l="1"/>
  <c r="P30" i="1"/>
  <c r="M30" i="1"/>
  <c r="L30" i="1"/>
  <c r="R26" i="1"/>
  <c r="P26" i="1"/>
  <c r="M26" i="1"/>
  <c r="L26" i="1"/>
  <c r="G6" i="1"/>
  <c r="K6" i="1" s="1"/>
  <c r="K27" i="1"/>
  <c r="K22" i="1"/>
  <c r="K20" i="1"/>
  <c r="K19" i="1"/>
  <c r="K18" i="1"/>
  <c r="K16" i="1"/>
  <c r="K15" i="1"/>
  <c r="K13" i="1"/>
  <c r="K7" i="1"/>
  <c r="K5" i="1"/>
  <c r="K3" i="1"/>
  <c r="K2" i="1"/>
  <c r="J33" i="1"/>
  <c r="J32" i="1"/>
  <c r="J31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33" i="1"/>
  <c r="K33" i="1" s="1"/>
  <c r="F32" i="1"/>
  <c r="K32" i="1" s="1"/>
  <c r="F31" i="1"/>
  <c r="K31" i="1" s="1"/>
  <c r="F30" i="1"/>
  <c r="K30" i="1" s="1"/>
  <c r="D30" i="1"/>
  <c r="J30" i="1" s="1"/>
  <c r="F29" i="1"/>
  <c r="K29" i="1" s="1"/>
  <c r="F28" i="1"/>
  <c r="K28" i="1" s="1"/>
  <c r="F26" i="1"/>
  <c r="K26" i="1" s="1"/>
  <c r="D26" i="1"/>
  <c r="F25" i="1"/>
  <c r="K25" i="1" s="1"/>
  <c r="D25" i="1"/>
  <c r="G24" i="1"/>
  <c r="K24" i="1" s="1"/>
  <c r="F23" i="1"/>
  <c r="K23" i="1" s="1"/>
  <c r="F21" i="1"/>
  <c r="K21" i="1" s="1"/>
  <c r="D20" i="1"/>
  <c r="F17" i="1"/>
  <c r="K17" i="1" s="1"/>
  <c r="G14" i="1"/>
  <c r="K14" i="1" s="1"/>
  <c r="F12" i="1"/>
  <c r="K12" i="1" s="1"/>
  <c r="G10" i="1"/>
  <c r="K10" i="1" s="1"/>
  <c r="G9" i="1"/>
  <c r="K9" i="1" s="1"/>
  <c r="G4" i="1"/>
  <c r="K4" i="1" s="1"/>
  <c r="F11" i="1"/>
  <c r="K11" i="1" s="1"/>
  <c r="F8" i="1"/>
  <c r="K8" i="1" s="1"/>
</calcChain>
</file>

<file path=xl/sharedStrings.xml><?xml version="1.0" encoding="utf-8"?>
<sst xmlns="http://schemas.openxmlformats.org/spreadsheetml/2006/main" count="307" uniqueCount="72">
  <si>
    <t>Bridgers</t>
  </si>
  <si>
    <t>Hostetler</t>
  </si>
  <si>
    <t>van Donselaar</t>
  </si>
  <si>
    <t>Webber</t>
  </si>
  <si>
    <t>Azuma</t>
  </si>
  <si>
    <t>Salek-Haddadi</t>
  </si>
  <si>
    <t>Piccinelli</t>
  </si>
  <si>
    <t>Stroink</t>
  </si>
  <si>
    <t>Lee</t>
  </si>
  <si>
    <t>Nguyen</t>
  </si>
  <si>
    <t>Abend</t>
  </si>
  <si>
    <t>Halford</t>
  </si>
  <si>
    <t>Mohammad</t>
  </si>
  <si>
    <t>Bagheri</t>
  </si>
  <si>
    <t>McKenzie</t>
  </si>
  <si>
    <t>Scheuer</t>
  </si>
  <si>
    <t>Nariai</t>
  </si>
  <si>
    <t>Benarous</t>
  </si>
  <si>
    <t>Jing</t>
  </si>
  <si>
    <t>Backman</t>
  </si>
  <si>
    <t>Beniczky</t>
  </si>
  <si>
    <t>Kural</t>
  </si>
  <si>
    <t>Ahrens</t>
  </si>
  <si>
    <t>Beuchat</t>
  </si>
  <si>
    <t>Yim</t>
  </si>
  <si>
    <t>Kulick-Soper</t>
  </si>
  <si>
    <t>Tjepkema-Cloostermans</t>
  </si>
  <si>
    <t>Yuan</t>
  </si>
  <si>
    <t>REFID</t>
  </si>
  <si>
    <t>Author</t>
  </si>
  <si>
    <t>Year</t>
  </si>
  <si>
    <t>Yes</t>
  </si>
  <si>
    <t>No</t>
  </si>
  <si>
    <t>LL001 Length of total EEG per patient, minutes</t>
  </si>
  <si>
    <t>LL002 No specific length of total EEG specified, assumed length</t>
  </si>
  <si>
    <t>LL003 Length of EEG clip rated, seconds</t>
  </si>
  <si>
    <t>LL04 No specific length of EEG clip specified, assumed length</t>
  </si>
  <si>
    <t>LL05 Imputed total EEG length</t>
  </si>
  <si>
    <t>LL06 Imputed rated clip length</t>
  </si>
  <si>
    <t>LL07 Length of total EEG per patient, minutes, with imputed values</t>
  </si>
  <si>
    <t>LL08 Length of EEG clip rated, seconds, with imputed values</t>
  </si>
  <si>
    <t>SS001 Patient and-or EEG preselection yes/no</t>
  </si>
  <si>
    <t>SS004 EEG sampling weighted accounted for?</t>
  </si>
  <si>
    <t>First seizure</t>
  </si>
  <si>
    <t>SS005 Clinical setting</t>
  </si>
  <si>
    <t>Known epilepsy</t>
  </si>
  <si>
    <t>Consecutive clinical EEGs</t>
  </si>
  <si>
    <t>Known epilepsy with IEDs</t>
  </si>
  <si>
    <t>Intractable epilepsy, frequent IEDs</t>
  </si>
  <si>
    <t>Epilepsy monitoring unit</t>
  </si>
  <si>
    <t>Craniotomy and postop seizure(s)</t>
  </si>
  <si>
    <t>SS003 EEG sampling explicitly weighted?</t>
  </si>
  <si>
    <t>Known temporal abnormalities on EEG</t>
  </si>
  <si>
    <t>Post-cardiac arrest</t>
  </si>
  <si>
    <t>EMU, known seizures</t>
  </si>
  <si>
    <t>Known pediatric intractable epilepsy</t>
  </si>
  <si>
    <t>Epilepsy monitoring unit, post-cardiac arrest</t>
  </si>
  <si>
    <t>Pediatric intensive care unit cEEG</t>
  </si>
  <si>
    <t>Consecutive clinical EEGs, academic tertiary center</t>
  </si>
  <si>
    <t>Known temporal lobe epilepsy</t>
  </si>
  <si>
    <t>Intensive care unit questioning seizures, req pharmacologic seizures, 83% post-cardiac arrest, 93% clinical myoclonus</t>
  </si>
  <si>
    <t>Synthetic case mix standard EEG 44% epilepsy 56% normal EEG</t>
  </si>
  <si>
    <t>Synthetic case mix mixed inpatient and outpatient EEG with known IED</t>
  </si>
  <si>
    <t>Synthetic case mix 50% known epilepsy with video-documented seizures, 50% non-epi events with sharp transients</t>
  </si>
  <si>
    <t>Synthetic case mix 90% known epilepsy photoparoxysmal response, 10% "normals"</t>
  </si>
  <si>
    <t>Synthetic case mix standard EEG with 95% reported IED, 5% normals</t>
  </si>
  <si>
    <t>Synthetic case mix 50% IED known epilepsy, 50% benign variants</t>
  </si>
  <si>
    <t>Synthetic case mix epilepsy with IED, normal EEG etc</t>
  </si>
  <si>
    <t>Known encephalitis in children</t>
  </si>
  <si>
    <t>SS002B EEG preselection for other activity yes/no</t>
  </si>
  <si>
    <t>SS002C Synthetic case mix</t>
  </si>
  <si>
    <t>SS002A EEG preselection for epileptiform activity 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</si>
</sst>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Q5" sqref="Q5"/>
    </sheetView>
  </sheetViews>
  <sheetFormatPr baseColWidth="10" defaultColWidth="8.7265625" defaultRowHeight="14.5" x14ac:dyDescent="0.35"/>
  <sheetData>
    <row r="1" spans="1:18" ht="130.5" x14ac:dyDescent="0.35">
      <c r="A1" t="s">
        <v>28</v>
      </c>
      <c r="B1" t="s">
        <v>29</v>
      </c>
      <c r="C1" t="s">
        <v>30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71</v>
      </c>
      <c r="N1" s="1" t="s">
        <v>69</v>
      </c>
      <c r="O1" s="1" t="s">
        <v>70</v>
      </c>
      <c r="P1" s="1" t="s">
        <v>51</v>
      </c>
      <c r="Q1" s="1" t="s">
        <v>42</v>
      </c>
      <c r="R1" s="1" t="s">
        <v>44</v>
      </c>
    </row>
    <row r="2" spans="1:18" x14ac:dyDescent="0.35">
      <c r="A2">
        <v>22</v>
      </c>
      <c r="B2" t="s">
        <v>0</v>
      </c>
      <c r="C2">
        <v>1988</v>
      </c>
      <c r="E2">
        <v>20</v>
      </c>
      <c r="F2">
        <v>10</v>
      </c>
      <c r="H2" t="s">
        <v>31</v>
      </c>
      <c r="I2" t="s">
        <v>32</v>
      </c>
      <c r="J2">
        <f>MAX(D2:E2)</f>
        <v>20</v>
      </c>
      <c r="K2">
        <f>MAX(F2:G2)</f>
        <v>10</v>
      </c>
      <c r="L2" t="s">
        <v>31</v>
      </c>
      <c r="M2" t="s">
        <v>31</v>
      </c>
      <c r="N2" t="s">
        <v>32</v>
      </c>
      <c r="O2" t="s">
        <v>32</v>
      </c>
      <c r="P2" t="s">
        <v>32</v>
      </c>
      <c r="R2" t="s">
        <v>47</v>
      </c>
    </row>
    <row r="3" spans="1:18" x14ac:dyDescent="0.35">
      <c r="A3">
        <v>35</v>
      </c>
      <c r="B3" t="s">
        <v>1</v>
      </c>
      <c r="C3">
        <v>1992</v>
      </c>
      <c r="D3">
        <v>20</v>
      </c>
      <c r="G3">
        <v>1</v>
      </c>
      <c r="H3" t="s">
        <v>32</v>
      </c>
      <c r="I3" t="s">
        <v>31</v>
      </c>
      <c r="J3">
        <f t="shared" ref="J3:J33" si="0">MAX(D3:E3)</f>
        <v>20</v>
      </c>
      <c r="K3">
        <f t="shared" ref="K3:K33" si="1">MAX(F3:G3)</f>
        <v>1</v>
      </c>
      <c r="L3" t="s">
        <v>31</v>
      </c>
      <c r="M3" t="s">
        <v>31</v>
      </c>
      <c r="N3" t="s">
        <v>32</v>
      </c>
      <c r="O3" t="s">
        <v>32</v>
      </c>
      <c r="P3" t="s">
        <v>32</v>
      </c>
      <c r="R3" t="s">
        <v>47</v>
      </c>
    </row>
    <row r="4" spans="1:18" x14ac:dyDescent="0.35">
      <c r="A4">
        <v>37</v>
      </c>
      <c r="B4" t="s">
        <v>2</v>
      </c>
      <c r="C4">
        <v>1992</v>
      </c>
      <c r="E4">
        <v>20</v>
      </c>
      <c r="G4">
        <f>E4*60</f>
        <v>1200</v>
      </c>
      <c r="H4" t="s">
        <v>31</v>
      </c>
      <c r="I4" t="s">
        <v>32</v>
      </c>
      <c r="J4">
        <f t="shared" si="0"/>
        <v>20</v>
      </c>
      <c r="K4">
        <f t="shared" si="1"/>
        <v>1200</v>
      </c>
      <c r="L4" t="s">
        <v>32</v>
      </c>
      <c r="M4" t="s">
        <v>32</v>
      </c>
      <c r="N4" t="s">
        <v>32</v>
      </c>
      <c r="O4" t="s">
        <v>32</v>
      </c>
      <c r="P4" t="s">
        <v>31</v>
      </c>
      <c r="Q4" t="s">
        <v>31</v>
      </c>
      <c r="R4" t="s">
        <v>43</v>
      </c>
    </row>
    <row r="5" spans="1:18" x14ac:dyDescent="0.35">
      <c r="A5">
        <v>43</v>
      </c>
      <c r="B5" t="s">
        <v>3</v>
      </c>
      <c r="C5">
        <v>1993</v>
      </c>
      <c r="D5">
        <v>4</v>
      </c>
      <c r="G5">
        <v>1</v>
      </c>
      <c r="H5" t="s">
        <v>32</v>
      </c>
      <c r="I5" t="s">
        <v>31</v>
      </c>
      <c r="J5">
        <f t="shared" si="0"/>
        <v>4</v>
      </c>
      <c r="K5">
        <f t="shared" si="1"/>
        <v>1</v>
      </c>
      <c r="L5" t="s">
        <v>31</v>
      </c>
      <c r="M5" t="s">
        <v>32</v>
      </c>
      <c r="N5" t="s">
        <v>32</v>
      </c>
      <c r="O5" t="s">
        <v>32</v>
      </c>
      <c r="P5" t="s">
        <v>31</v>
      </c>
      <c r="R5" t="s">
        <v>49</v>
      </c>
    </row>
    <row r="6" spans="1:18" x14ac:dyDescent="0.35">
      <c r="A6">
        <v>78</v>
      </c>
      <c r="B6" t="s">
        <v>4</v>
      </c>
      <c r="C6">
        <v>2003</v>
      </c>
      <c r="E6">
        <v>20</v>
      </c>
      <c r="G6">
        <f>E6*60</f>
        <v>1200</v>
      </c>
      <c r="H6" t="s">
        <v>31</v>
      </c>
      <c r="I6" t="s">
        <v>31</v>
      </c>
      <c r="J6">
        <f t="shared" si="0"/>
        <v>20</v>
      </c>
      <c r="K6">
        <f t="shared" si="1"/>
        <v>1200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R6" t="s">
        <v>46</v>
      </c>
    </row>
    <row r="7" spans="1:18" x14ac:dyDescent="0.35">
      <c r="A7">
        <v>81</v>
      </c>
      <c r="B7" t="s">
        <v>5</v>
      </c>
      <c r="C7">
        <v>2003</v>
      </c>
      <c r="D7">
        <v>30</v>
      </c>
      <c r="F7">
        <v>10</v>
      </c>
      <c r="H7" t="s">
        <v>32</v>
      </c>
      <c r="I7" t="s">
        <v>32</v>
      </c>
      <c r="J7">
        <f t="shared" si="0"/>
        <v>30</v>
      </c>
      <c r="K7">
        <f t="shared" si="1"/>
        <v>10</v>
      </c>
      <c r="L7" t="s">
        <v>31</v>
      </c>
      <c r="M7" t="s">
        <v>31</v>
      </c>
      <c r="N7" t="s">
        <v>32</v>
      </c>
      <c r="O7" t="s">
        <v>32</v>
      </c>
      <c r="P7" t="s">
        <v>32</v>
      </c>
      <c r="R7" t="s">
        <v>48</v>
      </c>
    </row>
    <row r="8" spans="1:18" x14ac:dyDescent="0.35">
      <c r="A8">
        <v>86</v>
      </c>
      <c r="B8" t="s">
        <v>6</v>
      </c>
      <c r="C8">
        <v>2005</v>
      </c>
      <c r="D8">
        <v>30</v>
      </c>
      <c r="F8">
        <f>30*60</f>
        <v>1800</v>
      </c>
      <c r="H8" t="s">
        <v>32</v>
      </c>
      <c r="I8" t="s">
        <v>32</v>
      </c>
      <c r="J8">
        <f t="shared" si="0"/>
        <v>30</v>
      </c>
      <c r="K8">
        <f t="shared" si="1"/>
        <v>1800</v>
      </c>
      <c r="L8" t="s">
        <v>31</v>
      </c>
      <c r="M8" t="s">
        <v>32</v>
      </c>
      <c r="N8" t="s">
        <v>32</v>
      </c>
      <c r="O8" t="s">
        <v>32</v>
      </c>
      <c r="P8" t="s">
        <v>32</v>
      </c>
      <c r="R8" t="s">
        <v>45</v>
      </c>
    </row>
    <row r="9" spans="1:18" x14ac:dyDescent="0.35">
      <c r="A9">
        <v>94</v>
      </c>
      <c r="B9" t="s">
        <v>7</v>
      </c>
      <c r="C9">
        <v>2006</v>
      </c>
      <c r="E9">
        <v>20</v>
      </c>
      <c r="G9">
        <f>E9*60</f>
        <v>1200</v>
      </c>
      <c r="H9" t="s">
        <v>31</v>
      </c>
      <c r="I9" t="s">
        <v>31</v>
      </c>
      <c r="J9">
        <f t="shared" si="0"/>
        <v>20</v>
      </c>
      <c r="K9">
        <f t="shared" si="1"/>
        <v>1200</v>
      </c>
      <c r="L9" t="s">
        <v>32</v>
      </c>
      <c r="M9" t="s">
        <v>32</v>
      </c>
      <c r="N9" t="s">
        <v>32</v>
      </c>
      <c r="O9" t="s">
        <v>32</v>
      </c>
      <c r="P9" t="s">
        <v>31</v>
      </c>
      <c r="Q9" t="s">
        <v>32</v>
      </c>
      <c r="R9" t="s">
        <v>43</v>
      </c>
    </row>
    <row r="10" spans="1:18" x14ac:dyDescent="0.35">
      <c r="A10">
        <v>109</v>
      </c>
      <c r="B10" t="s">
        <v>8</v>
      </c>
      <c r="C10">
        <v>2010</v>
      </c>
      <c r="E10">
        <v>20</v>
      </c>
      <c r="G10">
        <f>E10*60</f>
        <v>1200</v>
      </c>
      <c r="H10" t="s">
        <v>31</v>
      </c>
      <c r="I10" t="s">
        <v>31</v>
      </c>
      <c r="J10">
        <f t="shared" si="0"/>
        <v>20</v>
      </c>
      <c r="K10">
        <f t="shared" si="1"/>
        <v>1200</v>
      </c>
      <c r="L10" t="s">
        <v>31</v>
      </c>
      <c r="M10" t="s">
        <v>32</v>
      </c>
      <c r="N10" t="s">
        <v>32</v>
      </c>
      <c r="O10" t="s">
        <v>32</v>
      </c>
      <c r="P10" t="s">
        <v>32</v>
      </c>
      <c r="R10" t="s">
        <v>50</v>
      </c>
    </row>
    <row r="11" spans="1:18" x14ac:dyDescent="0.35">
      <c r="A11">
        <v>110</v>
      </c>
      <c r="B11" t="s">
        <v>9</v>
      </c>
      <c r="C11">
        <v>2010</v>
      </c>
      <c r="D11">
        <v>35</v>
      </c>
      <c r="F11">
        <f>35*60</f>
        <v>2100</v>
      </c>
      <c r="H11" t="s">
        <v>32</v>
      </c>
      <c r="I11" t="s">
        <v>32</v>
      </c>
      <c r="J11">
        <f t="shared" si="0"/>
        <v>35</v>
      </c>
      <c r="K11">
        <f t="shared" si="1"/>
        <v>2100</v>
      </c>
      <c r="L11" t="s">
        <v>31</v>
      </c>
      <c r="M11" t="s">
        <v>32</v>
      </c>
      <c r="N11" t="s">
        <v>31</v>
      </c>
      <c r="O11" t="s">
        <v>32</v>
      </c>
      <c r="P11" t="s">
        <v>32</v>
      </c>
      <c r="R11" t="s">
        <v>52</v>
      </c>
    </row>
    <row r="12" spans="1:18" x14ac:dyDescent="0.35">
      <c r="A12">
        <v>115</v>
      </c>
      <c r="B12" t="s">
        <v>10</v>
      </c>
      <c r="C12">
        <v>2011</v>
      </c>
      <c r="D12">
        <v>30</v>
      </c>
      <c r="F12">
        <f>D12*60</f>
        <v>1800</v>
      </c>
      <c r="H12" t="s">
        <v>32</v>
      </c>
      <c r="I12" t="s">
        <v>32</v>
      </c>
      <c r="J12">
        <f t="shared" si="0"/>
        <v>30</v>
      </c>
      <c r="K12">
        <f t="shared" si="1"/>
        <v>1800</v>
      </c>
      <c r="L12" t="s">
        <v>31</v>
      </c>
      <c r="M12" t="s">
        <v>32</v>
      </c>
      <c r="N12" t="s">
        <v>32</v>
      </c>
      <c r="O12" t="s">
        <v>32</v>
      </c>
      <c r="P12" t="s">
        <v>32</v>
      </c>
      <c r="R12" t="s">
        <v>53</v>
      </c>
    </row>
    <row r="13" spans="1:18" x14ac:dyDescent="0.35">
      <c r="A13">
        <v>136</v>
      </c>
      <c r="B13" t="s">
        <v>11</v>
      </c>
      <c r="C13">
        <v>2013</v>
      </c>
      <c r="D13">
        <v>0.5</v>
      </c>
      <c r="G13">
        <v>1</v>
      </c>
      <c r="H13" t="s">
        <v>32</v>
      </c>
      <c r="I13" t="s">
        <v>31</v>
      </c>
      <c r="J13">
        <f t="shared" si="0"/>
        <v>0.5</v>
      </c>
      <c r="K13">
        <f t="shared" si="1"/>
        <v>1</v>
      </c>
      <c r="L13" t="s">
        <v>31</v>
      </c>
      <c r="M13" t="s">
        <v>31</v>
      </c>
      <c r="N13" t="s">
        <v>32</v>
      </c>
      <c r="O13" t="s">
        <v>31</v>
      </c>
      <c r="P13" t="s">
        <v>32</v>
      </c>
      <c r="R13" t="s">
        <v>66</v>
      </c>
    </row>
    <row r="14" spans="1:18" x14ac:dyDescent="0.35">
      <c r="A14">
        <v>176</v>
      </c>
      <c r="B14" t="s">
        <v>12</v>
      </c>
      <c r="C14">
        <v>2016</v>
      </c>
      <c r="E14">
        <v>20</v>
      </c>
      <c r="G14">
        <f>E14*60</f>
        <v>1200</v>
      </c>
      <c r="H14" t="s">
        <v>31</v>
      </c>
      <c r="I14" t="s">
        <v>31</v>
      </c>
      <c r="J14">
        <f t="shared" si="0"/>
        <v>20</v>
      </c>
      <c r="K14">
        <f t="shared" si="1"/>
        <v>1200</v>
      </c>
      <c r="L14" t="s">
        <v>31</v>
      </c>
      <c r="M14" t="s">
        <v>32</v>
      </c>
      <c r="N14" t="s">
        <v>32</v>
      </c>
      <c r="O14" t="s">
        <v>32</v>
      </c>
      <c r="P14" t="s">
        <v>32</v>
      </c>
      <c r="R14" t="s">
        <v>68</v>
      </c>
    </row>
    <row r="15" spans="1:18" x14ac:dyDescent="0.35">
      <c r="A15">
        <v>181</v>
      </c>
      <c r="B15" t="s">
        <v>13</v>
      </c>
      <c r="C15">
        <v>2017</v>
      </c>
      <c r="D15">
        <v>0.5</v>
      </c>
      <c r="G15">
        <v>1</v>
      </c>
      <c r="H15" t="s">
        <v>32</v>
      </c>
      <c r="I15" t="s">
        <v>31</v>
      </c>
      <c r="J15">
        <f t="shared" si="0"/>
        <v>0.5</v>
      </c>
      <c r="K15">
        <f t="shared" si="1"/>
        <v>1</v>
      </c>
      <c r="L15" t="s">
        <v>31</v>
      </c>
      <c r="M15" t="s">
        <v>32</v>
      </c>
      <c r="N15" t="s">
        <v>32</v>
      </c>
      <c r="O15" t="s">
        <v>31</v>
      </c>
      <c r="P15" t="s">
        <v>31</v>
      </c>
      <c r="Q15" t="s">
        <v>32</v>
      </c>
      <c r="R15" t="s">
        <v>67</v>
      </c>
    </row>
    <row r="16" spans="1:18" x14ac:dyDescent="0.35">
      <c r="A16">
        <v>184</v>
      </c>
      <c r="B16" t="s">
        <v>11</v>
      </c>
      <c r="C16">
        <v>2017</v>
      </c>
      <c r="D16">
        <v>0.5</v>
      </c>
      <c r="G16">
        <v>1</v>
      </c>
      <c r="H16" t="s">
        <v>32</v>
      </c>
      <c r="I16" t="s">
        <v>31</v>
      </c>
      <c r="J16">
        <f t="shared" si="0"/>
        <v>0.5</v>
      </c>
      <c r="K16">
        <f t="shared" si="1"/>
        <v>1</v>
      </c>
      <c r="L16" t="s">
        <v>31</v>
      </c>
      <c r="M16" t="s">
        <v>31</v>
      </c>
      <c r="N16" t="s">
        <v>32</v>
      </c>
      <c r="O16" t="s">
        <v>31</v>
      </c>
      <c r="P16" t="s">
        <v>31</v>
      </c>
      <c r="Q16" t="s">
        <v>32</v>
      </c>
      <c r="R16" t="s">
        <v>66</v>
      </c>
    </row>
    <row r="17" spans="1:18" x14ac:dyDescent="0.35">
      <c r="A17">
        <v>186</v>
      </c>
      <c r="B17" t="s">
        <v>14</v>
      </c>
      <c r="C17">
        <v>2017</v>
      </c>
      <c r="D17">
        <v>20</v>
      </c>
      <c r="F17">
        <f>D17*60</f>
        <v>1200</v>
      </c>
      <c r="H17" t="s">
        <v>32</v>
      </c>
      <c r="I17" t="s">
        <v>32</v>
      </c>
      <c r="J17">
        <f t="shared" si="0"/>
        <v>20</v>
      </c>
      <c r="K17">
        <f t="shared" si="1"/>
        <v>1200</v>
      </c>
      <c r="L17" t="s">
        <v>31</v>
      </c>
      <c r="M17" t="s">
        <v>32</v>
      </c>
      <c r="N17" t="s">
        <v>32</v>
      </c>
      <c r="O17" t="s">
        <v>32</v>
      </c>
      <c r="P17" t="s">
        <v>32</v>
      </c>
      <c r="R17" t="s">
        <v>45</v>
      </c>
    </row>
    <row r="18" spans="1:18" x14ac:dyDescent="0.35">
      <c r="A18">
        <v>189</v>
      </c>
      <c r="B18" t="s">
        <v>15</v>
      </c>
      <c r="C18">
        <v>2017</v>
      </c>
      <c r="D18">
        <v>378</v>
      </c>
      <c r="G18">
        <v>1</v>
      </c>
      <c r="H18" t="s">
        <v>32</v>
      </c>
      <c r="I18" t="s">
        <v>31</v>
      </c>
      <c r="J18">
        <f t="shared" si="0"/>
        <v>378</v>
      </c>
      <c r="K18">
        <f t="shared" si="1"/>
        <v>1</v>
      </c>
      <c r="L18" t="s">
        <v>31</v>
      </c>
      <c r="M18" t="s">
        <v>31</v>
      </c>
      <c r="N18" t="s">
        <v>32</v>
      </c>
      <c r="O18" t="s">
        <v>32</v>
      </c>
      <c r="P18" t="s">
        <v>31</v>
      </c>
      <c r="Q18" t="s">
        <v>32</v>
      </c>
      <c r="R18" t="s">
        <v>54</v>
      </c>
    </row>
    <row r="19" spans="1:18" x14ac:dyDescent="0.35">
      <c r="A19">
        <v>227</v>
      </c>
      <c r="B19" t="s">
        <v>11</v>
      </c>
      <c r="C19">
        <v>2018</v>
      </c>
      <c r="D19">
        <v>0.5</v>
      </c>
      <c r="G19">
        <v>1</v>
      </c>
      <c r="H19" t="s">
        <v>32</v>
      </c>
      <c r="I19" t="s">
        <v>31</v>
      </c>
      <c r="J19">
        <f t="shared" si="0"/>
        <v>0.5</v>
      </c>
      <c r="K19">
        <f t="shared" si="1"/>
        <v>1</v>
      </c>
      <c r="L19" t="s">
        <v>31</v>
      </c>
      <c r="M19" t="s">
        <v>31</v>
      </c>
      <c r="N19" t="s">
        <v>32</v>
      </c>
      <c r="O19" t="s">
        <v>31</v>
      </c>
      <c r="P19" t="s">
        <v>31</v>
      </c>
      <c r="Q19" t="s">
        <v>32</v>
      </c>
      <c r="R19" t="s">
        <v>66</v>
      </c>
    </row>
    <row r="20" spans="1:18" x14ac:dyDescent="0.35">
      <c r="A20">
        <v>230</v>
      </c>
      <c r="B20" t="s">
        <v>16</v>
      </c>
      <c r="C20">
        <v>2018</v>
      </c>
      <c r="D20" s="2">
        <f>10/60</f>
        <v>0.16666666666666666</v>
      </c>
      <c r="G20">
        <v>1</v>
      </c>
      <c r="H20" t="s">
        <v>32</v>
      </c>
      <c r="I20" t="s">
        <v>31</v>
      </c>
      <c r="J20" s="3">
        <f t="shared" si="0"/>
        <v>0.16666666666666666</v>
      </c>
      <c r="K20">
        <f t="shared" si="1"/>
        <v>1</v>
      </c>
      <c r="L20" t="s">
        <v>31</v>
      </c>
      <c r="M20" t="s">
        <v>32</v>
      </c>
      <c r="N20" t="s">
        <v>32</v>
      </c>
      <c r="O20" t="s">
        <v>32</v>
      </c>
      <c r="P20" t="s">
        <v>31</v>
      </c>
      <c r="Q20" t="s">
        <v>32</v>
      </c>
      <c r="R20" t="s">
        <v>55</v>
      </c>
    </row>
    <row r="21" spans="1:18" x14ac:dyDescent="0.35">
      <c r="A21">
        <v>232</v>
      </c>
      <c r="B21" t="s">
        <v>17</v>
      </c>
      <c r="C21">
        <v>2019</v>
      </c>
      <c r="D21">
        <v>20</v>
      </c>
      <c r="F21">
        <f>D21*60</f>
        <v>1200</v>
      </c>
      <c r="H21" t="s">
        <v>32</v>
      </c>
      <c r="I21" t="s">
        <v>32</v>
      </c>
      <c r="J21">
        <f t="shared" si="0"/>
        <v>20</v>
      </c>
      <c r="K21">
        <f t="shared" si="1"/>
        <v>1200</v>
      </c>
      <c r="L21" t="s">
        <v>31</v>
      </c>
      <c r="M21" t="s">
        <v>32</v>
      </c>
      <c r="N21" t="s">
        <v>32</v>
      </c>
      <c r="O21" t="s">
        <v>32</v>
      </c>
      <c r="P21" t="s">
        <v>32</v>
      </c>
      <c r="R21" t="s">
        <v>56</v>
      </c>
    </row>
    <row r="22" spans="1:18" x14ac:dyDescent="0.35">
      <c r="A22">
        <v>236</v>
      </c>
      <c r="B22" t="s">
        <v>18</v>
      </c>
      <c r="C22">
        <v>2020</v>
      </c>
      <c r="D22">
        <v>30</v>
      </c>
      <c r="G22">
        <v>1</v>
      </c>
      <c r="H22" t="s">
        <v>32</v>
      </c>
      <c r="I22" t="s">
        <v>31</v>
      </c>
      <c r="J22">
        <f t="shared" si="0"/>
        <v>30</v>
      </c>
      <c r="K22">
        <f t="shared" si="1"/>
        <v>1</v>
      </c>
      <c r="L22" t="s">
        <v>31</v>
      </c>
      <c r="M22" t="s">
        <v>31</v>
      </c>
      <c r="N22" t="s">
        <v>32</v>
      </c>
      <c r="O22" t="s">
        <v>31</v>
      </c>
      <c r="P22" t="s">
        <v>31</v>
      </c>
      <c r="Q22" t="s">
        <v>32</v>
      </c>
      <c r="R22" t="s">
        <v>65</v>
      </c>
    </row>
    <row r="23" spans="1:18" x14ac:dyDescent="0.35">
      <c r="A23">
        <v>247</v>
      </c>
      <c r="B23" t="s">
        <v>19</v>
      </c>
      <c r="C23">
        <v>2020</v>
      </c>
      <c r="D23">
        <v>21</v>
      </c>
      <c r="F23">
        <f>D23*60</f>
        <v>1260</v>
      </c>
      <c r="H23" t="s">
        <v>32</v>
      </c>
      <c r="I23" t="s">
        <v>32</v>
      </c>
      <c r="J23">
        <f t="shared" si="0"/>
        <v>21</v>
      </c>
      <c r="K23">
        <f t="shared" si="1"/>
        <v>1260</v>
      </c>
      <c r="L23" t="s">
        <v>31</v>
      </c>
      <c r="M23" t="s">
        <v>32</v>
      </c>
      <c r="N23" t="s">
        <v>32</v>
      </c>
      <c r="O23" t="s">
        <v>32</v>
      </c>
      <c r="P23" t="s">
        <v>32</v>
      </c>
      <c r="R23" t="s">
        <v>53</v>
      </c>
    </row>
    <row r="24" spans="1:18" x14ac:dyDescent="0.35">
      <c r="A24">
        <v>248</v>
      </c>
      <c r="B24" t="s">
        <v>20</v>
      </c>
      <c r="C24">
        <v>2020</v>
      </c>
      <c r="E24">
        <v>20</v>
      </c>
      <c r="G24">
        <f>E24*60</f>
        <v>1200</v>
      </c>
      <c r="H24" t="s">
        <v>31</v>
      </c>
      <c r="I24" t="s">
        <v>31</v>
      </c>
      <c r="J24">
        <f t="shared" si="0"/>
        <v>20</v>
      </c>
      <c r="K24">
        <f t="shared" si="1"/>
        <v>1200</v>
      </c>
      <c r="L24" t="s">
        <v>31</v>
      </c>
      <c r="M24" t="s">
        <v>32</v>
      </c>
      <c r="N24" t="s">
        <v>31</v>
      </c>
      <c r="O24" t="s">
        <v>31</v>
      </c>
      <c r="P24" t="s">
        <v>31</v>
      </c>
      <c r="R24" t="s">
        <v>64</v>
      </c>
    </row>
    <row r="25" spans="1:18" x14ac:dyDescent="0.35">
      <c r="A25">
        <v>252</v>
      </c>
      <c r="B25" t="s">
        <v>21</v>
      </c>
      <c r="C25">
        <v>2020</v>
      </c>
      <c r="D25" s="2">
        <f>10/60</f>
        <v>0.16666666666666666</v>
      </c>
      <c r="F25" s="2">
        <f>10/60</f>
        <v>0.16666666666666666</v>
      </c>
      <c r="H25" t="s">
        <v>32</v>
      </c>
      <c r="I25" t="s">
        <v>32</v>
      </c>
      <c r="J25" s="3">
        <f t="shared" si="0"/>
        <v>0.16666666666666666</v>
      </c>
      <c r="K25" s="3">
        <f t="shared" si="1"/>
        <v>0.16666666666666666</v>
      </c>
      <c r="L25" t="s">
        <v>31</v>
      </c>
      <c r="M25" t="s">
        <v>32</v>
      </c>
      <c r="N25" t="s">
        <v>32</v>
      </c>
      <c r="O25" t="s">
        <v>31</v>
      </c>
      <c r="P25" t="s">
        <v>32</v>
      </c>
      <c r="R25" t="s">
        <v>63</v>
      </c>
    </row>
    <row r="26" spans="1:18" x14ac:dyDescent="0.35">
      <c r="A26">
        <v>253</v>
      </c>
      <c r="B26" t="s">
        <v>21</v>
      </c>
      <c r="C26">
        <v>2020</v>
      </c>
      <c r="D26" s="2">
        <f>10/60</f>
        <v>0.16666666666666666</v>
      </c>
      <c r="F26" s="2">
        <f>10/60</f>
        <v>0.16666666666666666</v>
      </c>
      <c r="H26" t="s">
        <v>32</v>
      </c>
      <c r="I26" t="s">
        <v>32</v>
      </c>
      <c r="J26" s="3">
        <f t="shared" si="0"/>
        <v>0.16666666666666666</v>
      </c>
      <c r="K26" s="3">
        <f t="shared" si="1"/>
        <v>0.16666666666666666</v>
      </c>
      <c r="L26" t="str">
        <f>L25</f>
        <v>Yes</v>
      </c>
      <c r="M26" t="str">
        <f>M25</f>
        <v>No</v>
      </c>
      <c r="N26" t="s">
        <v>32</v>
      </c>
      <c r="O26" t="s">
        <v>31</v>
      </c>
      <c r="P26" t="str">
        <f>P25</f>
        <v>No</v>
      </c>
      <c r="R26" t="str">
        <f>R25</f>
        <v>Synthetic case mix 50% known epilepsy with video-documented seizures, 50% non-epi events with sharp transients</v>
      </c>
    </row>
    <row r="27" spans="1:18" x14ac:dyDescent="0.35">
      <c r="A27">
        <v>266</v>
      </c>
      <c r="B27" t="s">
        <v>22</v>
      </c>
      <c r="C27">
        <v>2021</v>
      </c>
      <c r="D27">
        <v>5</v>
      </c>
      <c r="F27">
        <v>300</v>
      </c>
      <c r="H27" t="s">
        <v>32</v>
      </c>
      <c r="I27" t="s">
        <v>32</v>
      </c>
      <c r="J27">
        <f t="shared" si="0"/>
        <v>5</v>
      </c>
      <c r="K27">
        <f t="shared" si="1"/>
        <v>300</v>
      </c>
      <c r="L27" t="s">
        <v>31</v>
      </c>
      <c r="M27" t="s">
        <v>32</v>
      </c>
      <c r="N27" t="s">
        <v>32</v>
      </c>
      <c r="O27" t="s">
        <v>32</v>
      </c>
      <c r="P27" t="s">
        <v>32</v>
      </c>
      <c r="R27" t="s">
        <v>57</v>
      </c>
    </row>
    <row r="28" spans="1:18" x14ac:dyDescent="0.35">
      <c r="A28">
        <v>268</v>
      </c>
      <c r="B28" t="s">
        <v>23</v>
      </c>
      <c r="C28">
        <v>2021</v>
      </c>
      <c r="D28">
        <v>20</v>
      </c>
      <c r="F28">
        <f>D28*60</f>
        <v>1200</v>
      </c>
      <c r="H28" t="s">
        <v>32</v>
      </c>
      <c r="I28" t="s">
        <v>32</v>
      </c>
      <c r="J28">
        <f t="shared" si="0"/>
        <v>20</v>
      </c>
      <c r="K28">
        <f t="shared" si="1"/>
        <v>1200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R28" t="s">
        <v>58</v>
      </c>
    </row>
    <row r="29" spans="1:18" x14ac:dyDescent="0.35">
      <c r="A29">
        <v>280</v>
      </c>
      <c r="B29" t="s">
        <v>24</v>
      </c>
      <c r="C29">
        <v>2021</v>
      </c>
      <c r="D29">
        <v>40</v>
      </c>
      <c r="F29">
        <f>D29*60</f>
        <v>2400</v>
      </c>
      <c r="H29" t="s">
        <v>32</v>
      </c>
      <c r="I29" t="s">
        <v>32</v>
      </c>
      <c r="J29">
        <f t="shared" si="0"/>
        <v>40</v>
      </c>
      <c r="K29">
        <f t="shared" si="1"/>
        <v>2400</v>
      </c>
      <c r="L29" t="s">
        <v>31</v>
      </c>
      <c r="M29" t="s">
        <v>32</v>
      </c>
      <c r="N29" t="s">
        <v>32</v>
      </c>
      <c r="O29" t="s">
        <v>32</v>
      </c>
      <c r="P29" t="s">
        <v>32</v>
      </c>
      <c r="R29" t="s">
        <v>59</v>
      </c>
    </row>
    <row r="30" spans="1:18" x14ac:dyDescent="0.35">
      <c r="A30">
        <v>406</v>
      </c>
      <c r="B30" t="s">
        <v>21</v>
      </c>
      <c r="C30">
        <v>2022</v>
      </c>
      <c r="D30" s="2">
        <f>10/60</f>
        <v>0.16666666666666666</v>
      </c>
      <c r="F30" s="2">
        <f>10/60</f>
        <v>0.16666666666666666</v>
      </c>
      <c r="H30" t="s">
        <v>32</v>
      </c>
      <c r="I30" t="s">
        <v>32</v>
      </c>
      <c r="J30" s="3">
        <f t="shared" si="0"/>
        <v>0.16666666666666666</v>
      </c>
      <c r="K30" s="3">
        <f t="shared" si="1"/>
        <v>0.16666666666666666</v>
      </c>
      <c r="L30" t="str">
        <f>L25</f>
        <v>Yes</v>
      </c>
      <c r="M30" t="str">
        <f>M25</f>
        <v>No</v>
      </c>
      <c r="N30" t="s">
        <v>32</v>
      </c>
      <c r="O30" t="s">
        <v>31</v>
      </c>
      <c r="P30" t="str">
        <f>P25</f>
        <v>No</v>
      </c>
      <c r="R30" t="str">
        <f>R25</f>
        <v>Synthetic case mix 50% known epilepsy with video-documented seizures, 50% non-epi events with sharp transients</v>
      </c>
    </row>
    <row r="31" spans="1:18" x14ac:dyDescent="0.35">
      <c r="A31">
        <v>413</v>
      </c>
      <c r="B31" t="s">
        <v>25</v>
      </c>
      <c r="C31">
        <v>2023</v>
      </c>
      <c r="D31">
        <v>240</v>
      </c>
      <c r="F31">
        <f>D31*60</f>
        <v>14400</v>
      </c>
      <c r="H31" t="s">
        <v>32</v>
      </c>
      <c r="I31" t="s">
        <v>32</v>
      </c>
      <c r="J31">
        <f t="shared" si="0"/>
        <v>240</v>
      </c>
      <c r="K31">
        <f t="shared" si="1"/>
        <v>14400</v>
      </c>
      <c r="L31" t="s">
        <v>31</v>
      </c>
      <c r="M31" t="s">
        <v>32</v>
      </c>
      <c r="N31" t="s">
        <v>32</v>
      </c>
      <c r="O31" t="s">
        <v>32</v>
      </c>
      <c r="P31" t="s">
        <v>32</v>
      </c>
      <c r="R31" t="s">
        <v>60</v>
      </c>
    </row>
    <row r="32" spans="1:18" x14ac:dyDescent="0.35">
      <c r="A32">
        <v>443</v>
      </c>
      <c r="B32" t="s">
        <v>26</v>
      </c>
      <c r="C32">
        <v>2025</v>
      </c>
      <c r="D32">
        <v>13.3</v>
      </c>
      <c r="F32">
        <f>D32*60</f>
        <v>798</v>
      </c>
      <c r="H32" t="s">
        <v>32</v>
      </c>
      <c r="I32" t="s">
        <v>32</v>
      </c>
      <c r="J32">
        <f t="shared" si="0"/>
        <v>13.3</v>
      </c>
      <c r="K32">
        <f t="shared" si="1"/>
        <v>798</v>
      </c>
      <c r="L32" t="s">
        <v>31</v>
      </c>
      <c r="M32" t="s">
        <v>31</v>
      </c>
      <c r="N32" t="s">
        <v>32</v>
      </c>
      <c r="O32" t="s">
        <v>31</v>
      </c>
      <c r="P32" t="s">
        <v>32</v>
      </c>
      <c r="R32" t="s">
        <v>61</v>
      </c>
    </row>
    <row r="33" spans="1:18" x14ac:dyDescent="0.35">
      <c r="A33">
        <v>448</v>
      </c>
      <c r="B33" t="s">
        <v>27</v>
      </c>
      <c r="C33">
        <v>2025</v>
      </c>
      <c r="D33">
        <v>0.2</v>
      </c>
      <c r="F33">
        <f>D33*60</f>
        <v>12</v>
      </c>
      <c r="H33" t="s">
        <v>32</v>
      </c>
      <c r="I33" t="s">
        <v>32</v>
      </c>
      <c r="J33">
        <f t="shared" si="0"/>
        <v>0.2</v>
      </c>
      <c r="K33">
        <f t="shared" si="1"/>
        <v>12</v>
      </c>
      <c r="L33" t="s">
        <v>31</v>
      </c>
      <c r="M33" t="s">
        <v>31</v>
      </c>
      <c r="N33" t="s">
        <v>32</v>
      </c>
      <c r="O33" t="s">
        <v>31</v>
      </c>
      <c r="P33" t="s">
        <v>31</v>
      </c>
      <c r="Q33" t="s">
        <v>32</v>
      </c>
      <c r="R33" t="s">
        <v>62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Følsomhet Intern (gul)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Brøgger, Jan Christian</dc:creator>
  <cp:lastModifiedBy>Brøgger, Jan Christian</cp:lastModifiedBy>
  <dcterms:created xsi:type="dcterms:W3CDTF">2015-06-05T18:19:34Z</dcterms:created>
  <dcterms:modified xsi:type="dcterms:W3CDTF">2026-04-14T13:10:23Z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2026-03-05T07:31:20Z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3948a9f7-86c4-4ef7-a4d8-3d09394702b4</vt:lpwstr>
  </property>
  <property fmtid="{D5CDD505-2E9C-101B-9397-08002B2CF9AE}" pid="8" name="MSIP_Label_0c3ffc1c-ef00-4620-9c2f-7d9c1597774b_ContentBits">
    <vt:lpwstr>2</vt:lpwstr>
  </property>
  <property fmtid="{D5CDD505-2E9C-101B-9397-08002B2CF9AE}" pid="9" name="MSIP_Label_0c3ffc1c-ef00-4620-9c2f-7d9c1597774b_Tag">
    <vt:lpwstr>10, 3, 0, 1</vt:lpwstr>
  </property>
</Properties>
</file>